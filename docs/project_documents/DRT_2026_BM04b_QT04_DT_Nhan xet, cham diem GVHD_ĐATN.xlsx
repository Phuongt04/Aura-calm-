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AHA\"/>
    </mc:Choice>
  </mc:AlternateContent>
  <xr:revisionPtr revIDLastSave="0" documentId="13_ncr:1_{FAEC712E-A234-4D0B-9F8D-4991EBDD7E99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cap nhat 22-23" sheetId="5" r:id="rId1"/>
  </sheets>
  <definedNames>
    <definedName name="_xlnm.Print_Area" localSheetId="0">'cap nhat 22-23'!$A$1:$H$86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5" l="1"/>
  <c r="B77" i="5"/>
  <c r="B76" i="5"/>
  <c r="I72" i="5"/>
  <c r="J71" i="5"/>
  <c r="J70" i="5"/>
  <c r="J69" i="5"/>
  <c r="J68" i="5"/>
  <c r="J67" i="5"/>
  <c r="J66" i="5"/>
  <c r="J65" i="5"/>
  <c r="J64" i="5"/>
  <c r="H72" i="5" s="1"/>
  <c r="I57" i="5"/>
  <c r="J56" i="5"/>
  <c r="J55" i="5"/>
  <c r="J54" i="5"/>
  <c r="J53" i="5"/>
  <c r="J52" i="5"/>
  <c r="J51" i="5"/>
  <c r="J50" i="5"/>
  <c r="J49" i="5"/>
  <c r="H57" i="5" s="1"/>
  <c r="E44" i="5" s="1"/>
  <c r="G44" i="5" s="1"/>
  <c r="B59" i="5"/>
  <c r="B44" i="5"/>
  <c r="B29" i="5"/>
  <c r="J35" i="5"/>
  <c r="J36" i="5"/>
  <c r="J37" i="5"/>
  <c r="J38" i="5"/>
  <c r="J39" i="5"/>
  <c r="J40" i="5"/>
  <c r="J41" i="5"/>
  <c r="J34" i="5"/>
  <c r="I42" i="5"/>
  <c r="E59" i="5" l="1"/>
  <c r="G59" i="5" s="1"/>
  <c r="H42" i="5"/>
  <c r="E29" i="5" s="1"/>
  <c r="J57" i="5"/>
  <c r="J72" i="5"/>
  <c r="J42" i="5"/>
  <c r="G29" i="5" l="1"/>
</calcChain>
</file>

<file path=xl/sharedStrings.xml><?xml version="1.0" encoding="utf-8"?>
<sst xmlns="http://schemas.openxmlformats.org/spreadsheetml/2006/main" count="268" uniqueCount="110">
  <si>
    <t>Mức F</t>
  </si>
  <si>
    <t>(0-3.9)</t>
  </si>
  <si>
    <t>Mức D</t>
  </si>
  <si>
    <t>(4.0-5.4)</t>
  </si>
  <si>
    <t>Mức C</t>
  </si>
  <si>
    <t>(5.5-6.9)</t>
  </si>
  <si>
    <t>Mức B</t>
  </si>
  <si>
    <t>(7.0-8.4)</t>
  </si>
  <si>
    <t>Mức A</t>
  </si>
  <si>
    <t>(8.5-10)</t>
  </si>
  <si>
    <t>Điểm</t>
  </si>
  <si>
    <t>Mã đề tài:</t>
  </si>
  <si>
    <t>BẢN NHẬN XÉT VÀ CHẤM ĐIỂM CỦA GIẢNG VIÊN HƯỚNG DẪN</t>
  </si>
  <si>
    <t>(1) Họ tên SV:</t>
  </si>
  <si>
    <t>MSSV:</t>
  </si>
  <si>
    <t>Lớp:</t>
  </si>
  <si>
    <t>(2) Họ tên SV:</t>
  </si>
  <si>
    <t>(3) Họ tên SV:</t>
  </si>
  <si>
    <t>3. Tổng quát về ĐATN:</t>
  </si>
  <si>
    <t>Số bản vẽ kèm theo:</t>
  </si>
  <si>
    <t>Phần mềm tính toán:</t>
  </si>
  <si>
    <t>Hình thức bản vẽ:</t>
  </si>
  <si>
    <t>4. Nhận xét</t>
  </si>
  <si>
    <t>a) Về tinh thần, thái độ làm việc của sinh viên:</t>
  </si>
  <si>
    <t>b) Những kết quả đạt được của ĐATN:</t>
  </si>
  <si>
    <t>c) Những hạn chế của ĐATN:</t>
  </si>
  <si>
    <t>6. Đề nghị:</t>
  </si>
  <si>
    <t>Giảng viên hướng dẫn</t>
  </si>
  <si>
    <t>(Ký và ghi rõ họ tên)</t>
  </si>
  <si>
    <t>Điểm số:</t>
  </si>
  <si>
    <t>Điểm chữ:</t>
  </si>
  <si>
    <t>(GVHD nộp Bản nhận xét này về Văn phòng Viện)</t>
  </si>
  <si>
    <t>Tiêu chí (trọng số)</t>
  </si>
  <si>
    <t xml:space="preserve">TỔNG CỘNG (thang điểm 10, làm tròn đến 0.5) : </t>
  </si>
  <si>
    <t>Mức chất lượng (≥ 4: đạt)</t>
  </si>
  <si>
    <r>
      <t>1. Họ và tên sinh viên/ nhóm sinh viên được giao đề tài</t>
    </r>
    <r>
      <rPr>
        <sz val="13"/>
        <rFont val="Times New Roman"/>
        <family val="1"/>
      </rPr>
      <t xml:space="preserve"> (sĩ số trong nhóm……):</t>
    </r>
  </si>
  <si>
    <r>
      <rPr>
        <b/>
        <sz val="12"/>
        <rFont val="Times New Roman"/>
        <family val="1"/>
      </rPr>
      <t>5. Điểm đánh giá</t>
    </r>
    <r>
      <rPr>
        <b/>
        <i/>
        <sz val="12"/>
        <rFont val="Times New Roman"/>
        <family val="1"/>
      </rPr>
      <t xml:space="preserve"> (theo thang điểm 10, làm tròn đến 0.5)</t>
    </r>
  </si>
  <si>
    <t>Đáp ứng CĐR (CLO)</t>
  </si>
  <si>
    <t>ĐỒ ÁN TỐT NGHIỆP NGÀNH ROBOT VÀ TRÍ TUỆ NHÂN TẠO</t>
  </si>
  <si>
    <t>CLO1</t>
  </si>
  <si>
    <t>Chuyên cần, ý thức nghề nghiệp, trách nhiệm cá nhân/nhóm và tuân thủ kế hoạch thực hiện (10%)</t>
  </si>
  <si>
    <t>Vắng mặt/thiếu hợp tác; thường xuyên trễ tiến độ; không thể hiện trách nhiệm với phần việc được giao.</t>
  </si>
  <si>
    <t>Có tham gia nhưng thụ động; tiến độ chậm; phối hợp nhóm còn yếu.</t>
  </si>
  <si>
    <t>Tham gia tương đối đầy đủ; hoàn thành các mốc chính nhưng còn cần nhắc nhở.</t>
  </si>
  <si>
    <t>Tham gia đầy đủ; chủ động phối hợp; hoàn thành đúng tiến độ phần việc được giao.</t>
  </si>
  <si>
    <t>Rất chủ động, kỷ luật; hỗ trợ nhóm tốt; hoàn thành vượt tiến độ và có tinh thần nghề nghiệp rõ.</t>
  </si>
  <si>
    <t>CLO6</t>
  </si>
  <si>
    <t>Trao đổi học thuật với GVHD, tiếp thu/phản biện góp ý và cập nhật minh chứng quá trình (10%)</t>
  </si>
  <si>
    <t>Không trao đổi hoặc không tiếp thu góp ý; không có nhật ký/minh chứng quá trình.</t>
  </si>
  <si>
    <t>Ít trao đổi; tiếp thu góp ý chậm; cập nhật minh chứng còn hình thức.</t>
  </si>
  <si>
    <t>Có trao đổi và điều chỉnh cơ bản nhưng minh chứng cập nhật chưa đầy đủ.</t>
  </si>
  <si>
    <t>Trao đổi thường xuyên; tiếp thu góp ý tốt; cập nhật tiến độ, nhật ký và minh chứng rõ ràng.</t>
  </si>
  <si>
    <t>Trao đổi chủ động, có phản biện khoa học; cập nhật phương án hợp lý, minh chứng đầy đủ và tin cậy.</t>
  </si>
  <si>
    <t>CLO2</t>
  </si>
  <si>
    <t>Xác định tổng quan đề tài, mục tiêu, phạm vi, yêu cầu kỹ thuật và phương pháp triển khai (10%)</t>
  </si>
  <si>
    <t>Không xác định được bối cảnh, mục tiêu, phạm vi hoặc phương pháp thực hiện.</t>
  </si>
  <si>
    <t>Xác định được một số ý nhưng mơ hồ; yêu cầu kỹ thuật và phương pháp chưa phù hợp.</t>
  </si>
  <si>
    <t>Xác định được tổng quan, mục tiêu và phương pháp ở mức cơ bản; còn thiếu liên kết với sản phẩm.</t>
  </si>
  <si>
    <t>Xác định rõ tổng quan, mục tiêu, phạm vi, yêu cầu kỹ thuật và phương pháp phù hợp.</t>
  </si>
  <si>
    <t>Xác định đầy đủ, có cơ sở khoa học; phương pháp rõ, khả thi và gắn chặt với sản phẩm Robot &amp; AI.</t>
  </si>
  <si>
    <t>CLO3</t>
  </si>
  <si>
    <t>Phân tích cơ sở lý thuyết, công nghệ/tiêu chuẩn liên quan và lập luận lựa chọn giải pháp Robot &amp; AI (10%)</t>
  </si>
  <si>
    <t>Không phân tích được cơ sở chuyên môn; lựa chọn phương án cảm tính.</t>
  </si>
  <si>
    <t>Phân tích sơ sài; so sánh phương án chưa có tiêu chí kỹ thuật rõ.</t>
  </si>
  <si>
    <t>Phân tích được kiến thức liên quan nhưng còn thiếu chiều sâu hoặc thiếu minh chứng.</t>
  </si>
  <si>
    <t>Phân tích tốt; lựa chọn phương án có tiêu chí kỹ thuật và lập luận phù hợp.</t>
  </si>
  <si>
    <t>Phân tích sâu, có đối chiếu tài liệu/công nghệ; lựa chọn phương án thuyết phục và có căn cứ.</t>
  </si>
  <si>
    <t>CLO5</t>
  </si>
  <si>
    <t>Báo cáo thuyết minh, bản vẽ/sơ đồ, mã nguồn/tài liệu kỹ thuật, trích dẫn và minh chứng thực hiện (10%)</t>
  </si>
  <si>
    <t>Báo cáo sai quy định; thiếu bản vẽ/sơ đồ/mã nguồn/minh chứng; trích dẫn sai hoặc không trích dẫn.</t>
  </si>
  <si>
    <t>Báo cáo còn nhiều lỗi hình thức; minh chứng rời rạc; tài liệu tham khảo nghèo nàn hoặc chưa chuẩn.</t>
  </si>
  <si>
    <t>Báo cáo đạt cơ bản; có minh chứng và trích dẫn nhưng chưa nhất quán.</t>
  </si>
  <si>
    <t>Báo cáo trình bày tốt; bản vẽ/sơ đồ/mã nguồn/minh chứng rõ; trích dẫn tương đối đầy đủ.</t>
  </si>
  <si>
    <t>Báo cáo mạch lạc, chuẩn học thuật; minh chứng đầy đủ; tài liệu kỹ thuật và trích dẫn phù hợp, tin cậy.</t>
  </si>
  <si>
    <t>Tính mới/cải tiến, khả năng ứng dụng, nhận diện hạn chế và định hướng phát triển (10%)</t>
  </si>
  <si>
    <t>Không thể hiện tính mới hoặc khả năng ứng dụng; không nhận diện được hạn chế.</t>
  </si>
  <si>
    <t>Có ý tưởng nhưng tính mới và ứng dụng chưa rõ; hạn chế/hướng phát triển còn hình thức.</t>
  </si>
  <si>
    <t>Có cải tiến hoặc ứng dụng ở mức cơ bản; nhận diện được một số hạn chế.</t>
  </si>
  <si>
    <t>Có tính mới tương đối rõ; khả năng ứng dụng phù hợp; nêu được hạn chế và hướng phát triển.</t>
  </si>
  <si>
    <t>Có ý tưởng sáng tạo/cải tiến rõ; khả năng ứng dụng cao; định hướng phát triển có cơ sở khoa học.</t>
  </si>
  <si>
    <t>CLO4</t>
  </si>
  <si>
    <t>Thiết kế, chế tạo/lập trình và tích hợp hệ thống Robot &amp; AI (25%)</t>
  </si>
  <si>
    <t>Không hoàn thành thiết kế/tích hợp; mô hình, chương trình hoặc thuật toán không hoạt động.</t>
  </si>
  <si>
    <t>Hoàn thành một phần; tích hợp cơ khí-điện-điều khiển/cảm biến/AI còn rời rạc, lỗi nhiều.</t>
  </si>
  <si>
    <t>Hệ thống hoạt động ở mức cơ bản; còn lỗi về độ ổn định, chính xác hoặc mức tích hợp.</t>
  </si>
  <si>
    <t>Hệ thống hoạt động tốt; tích hợp tương đối đồng bộ giữa cơ khí, cảm biến, điều khiển, phần mềm/AI.</t>
  </si>
  <si>
    <t>Hệ thống hoạt động ổn định; tích hợp đồng bộ, tối ưu; thể hiện năng lực thiết kế kỹ thuật và lập trình tốt.</t>
  </si>
  <si>
    <t>Thử nghiệm, hiệu chỉnh, đánh giá hoạt động của mô hình/phần mềm và xử lý sự cố kỹ thuật (15%)</t>
  </si>
  <si>
    <t>Không thử nghiệm/không vận hành được hệ thống; không xử lý được lỗi.</t>
  </si>
  <si>
    <t>Có thử nghiệm nhưng thiếu dữ liệu; xử lý lỗi chủ yếu bằng thử-sai, chưa có cơ sở.</t>
  </si>
  <si>
    <t>Có kiểm chứng cơ bản; xử lý được một số lỗi nhưng phân tích chưa sâu.</t>
  </si>
  <si>
    <t>Thử nghiệm rõ; hiệu chỉnh hợp lý; đánh giá được hoạt động và xử lý được lỗi chính.</t>
  </si>
  <si>
    <t>Thử nghiệm có hệ thống; dữ liệu tin cậy; hiệu chỉnh tốt; xử lý lỗi có lập luận kỹ thuật rõ.</t>
  </si>
  <si>
    <t>VIỆN KỸ THUẬT</t>
  </si>
  <si>
    <t>Được bảo vệ</t>
  </si>
  <si>
    <t>Không được ra hội đồng</t>
  </si>
  <si>
    <t>o</t>
  </si>
  <si>
    <t>Tp. HCM, ngày ... tháng … năm</t>
  </si>
  <si>
    <t>Trần Thị Phương</t>
  </si>
  <si>
    <t>Trần Thị Kim Thi</t>
  </si>
  <si>
    <t>Lớp: 22DRTA1</t>
  </si>
  <si>
    <t>Lớp:22DRTA1</t>
  </si>
  <si>
    <r>
      <t>2. Tên đề tài</t>
    </r>
    <r>
      <rPr>
        <sz val="13"/>
        <rFont val="Times New Roman"/>
        <family val="1"/>
      </rPr>
      <t xml:space="preserve">: </t>
    </r>
    <r>
      <rPr>
        <b/>
        <sz val="13"/>
        <rFont val="Times New Roman"/>
        <family val="1"/>
      </rPr>
      <t>THIẾT KẾ VÀ THI CÔNG ROBOT HỖ TRỢ CÂN
BẰNG CẢM XÚC DỰA TRÊN NHẬN DIỆN ĐA
PHƯƠNG THỨC</t>
    </r>
  </si>
  <si>
    <t>Số chương:6</t>
  </si>
  <si>
    <t>Số bảng số liệu: 22</t>
  </si>
  <si>
    <t>Số trang:154</t>
  </si>
  <si>
    <t>Số hình vẽ: 51</t>
  </si>
  <si>
    <t>Số tài liệu tham khảo:49</t>
  </si>
  <si>
    <t>Giảng viên hướng dẫn: Th.S Phạm Quốc Phương</t>
  </si>
  <si>
    <t>Hiện vật (sản phẩm) kèm theo:1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</si>
</sst>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Times New Roman"/>
      <family val="2"/>
    </font>
    <font>
      <b/>
      <sz val="12"/>
      <name val="Times New Roman"/>
      <family val="1"/>
    </font>
    <font>
      <sz val="9"/>
      <name val="Times New Roman"/>
      <family val="2"/>
    </font>
    <font>
      <sz val="12"/>
      <name val="Times New Roman"/>
      <family val="2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3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2"/>
    </font>
    <font>
      <sz val="9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Arial"/>
      <family val="2"/>
    </font>
    <font>
      <sz val="12"/>
      <color theme="1"/>
      <name val="Times New Roman"/>
      <family val="2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5" fillId="0" borderId="0" xfId="0" quotePrefix="1" applyFont="1" applyAlignment="1">
      <alignment horizontal="left" vertical="center"/>
    </xf>
    <xf numFmtId="0" fontId="16" fillId="0" borderId="0" xfId="0" applyFont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10" fillId="0" borderId="0" xfId="1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947056</xdr:colOff>
      <xdr:row>0</xdr:row>
      <xdr:rowOff>0</xdr:rowOff>
    </xdr:from>
    <xdr:to>
      <xdr:col>2</xdr:col>
      <xdr:colOff>333374</xdr:colOff>
      <xdr:row>2</xdr:row>
      <xdr:rowOff>27215</xdr:rowOff>
    </xdr:to>
    <xdr:pic>
      <xdr:nvPicPr>
        <xdr:cNvPr id="2" name="Picture 1" descr="logo (CMYK)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56" y="0"/>
          <a:ext cx="1481818" cy="427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J81"/>
  <sheetViews>
    <sheetView tabSelected="1" showWhiteSpace="0" topLeftCell="A12" zoomScale="91" zoomScaleNormal="91" workbookViewId="0">
      <selection activeCell="A20" sqref="A20"/>
    </sheetView>
  </sheetViews>
  <sheetFormatPr defaultColWidth="9" defaultRowHeight="15.45" x14ac:dyDescent="0.4"/>
  <cols>
    <col min="1" max="1" width="13.2109375" style="4" customWidth="1"/>
    <col min="2" max="2" width="16.5" style="4" customWidth="1"/>
    <col min="3" max="5" width="17.5" style="4" customWidth="1"/>
    <col min="6" max="6" width="19" style="4" customWidth="1"/>
    <col min="7" max="7" width="20" style="4" customWidth="1"/>
    <col min="8" max="8" width="15" style="4" customWidth="1"/>
    <col min="9" max="16384" width="9" style="4"/>
  </cols>
  <sheetData>
    <row r="1" spans="1:8" x14ac:dyDescent="0.4">
      <c r="G1" s="38" t="s">
        <v>11</v>
      </c>
      <c r="H1" s="38"/>
    </row>
    <row r="3" spans="1:8" ht="16.3" x14ac:dyDescent="0.4">
      <c r="A3" s="39" t="s">
        <v>93</v>
      </c>
      <c r="B3" s="39"/>
      <c r="C3" s="39"/>
    </row>
    <row r="5" spans="1:8" ht="19.75" x14ac:dyDescent="0.4">
      <c r="A5" s="40" t="s">
        <v>12</v>
      </c>
      <c r="B5" s="40"/>
      <c r="C5" s="40"/>
      <c r="D5" s="40"/>
      <c r="E5" s="40"/>
      <c r="F5" s="40"/>
      <c r="G5" s="40"/>
      <c r="H5" s="40"/>
    </row>
    <row r="6" spans="1:8" ht="16.3" x14ac:dyDescent="0.4">
      <c r="A6" s="39" t="s">
        <v>38</v>
      </c>
      <c r="B6" s="39"/>
      <c r="C6" s="39"/>
      <c r="D6" s="39"/>
      <c r="E6" s="39"/>
      <c r="F6" s="39"/>
      <c r="G6" s="39"/>
      <c r="H6" s="39"/>
    </row>
    <row r="7" spans="1:8" x14ac:dyDescent="0.4">
      <c r="A7" s="41" t="s">
        <v>31</v>
      </c>
      <c r="B7" s="41"/>
      <c r="C7" s="41"/>
      <c r="D7" s="41"/>
      <c r="E7" s="41"/>
      <c r="F7" s="41"/>
      <c r="G7" s="41"/>
      <c r="H7" s="41"/>
    </row>
    <row r="9" spans="1:8" ht="16.3" x14ac:dyDescent="0.4">
      <c r="A9" s="35" t="s">
        <v>35</v>
      </c>
      <c r="B9" s="35"/>
      <c r="C9" s="35"/>
      <c r="D9" s="35"/>
      <c r="E9" s="35"/>
      <c r="F9" s="35"/>
      <c r="G9" s="35"/>
      <c r="H9" s="35"/>
    </row>
    <row r="10" spans="1:8" x14ac:dyDescent="0.4">
      <c r="A10" s="5" t="s">
        <v>13</v>
      </c>
      <c r="B10" s="6" t="s">
        <v>98</v>
      </c>
      <c r="C10" s="6"/>
      <c r="D10" s="13" t="s">
        <v>14</v>
      </c>
      <c r="E10" s="37">
        <v>2286300032</v>
      </c>
      <c r="F10" s="37"/>
      <c r="G10" s="7" t="s">
        <v>100</v>
      </c>
      <c r="H10" s="7"/>
    </row>
    <row r="11" spans="1:8" x14ac:dyDescent="0.4">
      <c r="A11" s="5" t="s">
        <v>16</v>
      </c>
      <c r="B11" s="6" t="s">
        <v>99</v>
      </c>
      <c r="C11" s="6"/>
      <c r="D11" s="13" t="s">
        <v>14</v>
      </c>
      <c r="E11" s="37">
        <v>2286300037</v>
      </c>
      <c r="F11" s="37"/>
      <c r="G11" s="7" t="s">
        <v>101</v>
      </c>
      <c r="H11" s="7"/>
    </row>
    <row r="12" spans="1:8" x14ac:dyDescent="0.4">
      <c r="A12" s="5" t="s">
        <v>17</v>
      </c>
      <c r="B12" s="6"/>
      <c r="C12" s="6"/>
      <c r="D12" s="13" t="s">
        <v>14</v>
      </c>
      <c r="E12" s="37"/>
      <c r="F12" s="37"/>
      <c r="G12" s="7" t="s">
        <v>15</v>
      </c>
      <c r="H12" s="7"/>
    </row>
    <row r="13" spans="1:8" ht="16.3" x14ac:dyDescent="0.4">
      <c r="A13" s="15" t="s">
        <v>108</v>
      </c>
      <c r="B13" s="6"/>
      <c r="C13" s="6"/>
      <c r="D13" s="6"/>
      <c r="E13" s="6"/>
      <c r="F13" s="6"/>
      <c r="G13" s="6"/>
      <c r="H13" s="6"/>
    </row>
    <row r="14" spans="1:8" ht="16.5" customHeight="1" x14ac:dyDescent="0.4">
      <c r="A14" s="47" t="s">
        <v>102</v>
      </c>
      <c r="B14" s="35"/>
      <c r="C14" s="35"/>
      <c r="D14" s="35"/>
      <c r="E14" s="35"/>
      <c r="F14" s="35"/>
      <c r="G14" s="35"/>
      <c r="H14" s="35"/>
    </row>
    <row r="15" spans="1:8" ht="15.75" customHeight="1" x14ac:dyDescent="0.4">
      <c r="A15" s="35"/>
      <c r="B15" s="35"/>
      <c r="C15" s="35"/>
      <c r="D15" s="35"/>
      <c r="E15" s="35"/>
      <c r="F15" s="35"/>
      <c r="G15" s="35"/>
      <c r="H15" s="35"/>
    </row>
    <row r="16" spans="1:8" ht="25.5" customHeight="1" x14ac:dyDescent="0.4">
      <c r="A16" s="35" t="s">
        <v>18</v>
      </c>
      <c r="B16" s="35"/>
      <c r="C16" s="35"/>
      <c r="D16" s="35"/>
      <c r="E16" s="35"/>
      <c r="F16" s="35"/>
      <c r="G16" s="35"/>
      <c r="H16" s="35"/>
    </row>
    <row r="17" spans="1:10" x14ac:dyDescent="0.4">
      <c r="A17" s="4" t="s">
        <v>105</v>
      </c>
      <c r="C17" s="36" t="s">
        <v>103</v>
      </c>
      <c r="D17" s="36"/>
      <c r="E17" s="36" t="s">
        <v>104</v>
      </c>
      <c r="F17" s="36"/>
      <c r="G17" s="37"/>
      <c r="H17" s="37"/>
      <c r="I17" s="16"/>
      <c r="J17" s="16"/>
    </row>
    <row r="18" spans="1:10" x14ac:dyDescent="0.4">
      <c r="A18" s="4" t="s">
        <v>106</v>
      </c>
      <c r="C18" s="36" t="s">
        <v>107</v>
      </c>
      <c r="D18" s="36"/>
      <c r="E18" s="36" t="s">
        <v>20</v>
      </c>
      <c r="F18" s="36"/>
      <c r="G18" s="37"/>
      <c r="H18" s="37"/>
      <c r="I18" s="16"/>
      <c r="J18" s="16"/>
    </row>
    <row r="19" spans="1:10" ht="15.75" customHeight="1" x14ac:dyDescent="0.4">
      <c r="A19" s="12" t="s">
        <v>19</v>
      </c>
      <c r="B19" s="12"/>
      <c r="C19" s="12"/>
      <c r="D19" s="12"/>
      <c r="E19" s="36" t="s">
        <v>21</v>
      </c>
      <c r="F19" s="36"/>
      <c r="G19" s="37"/>
      <c r="H19" s="37"/>
      <c r="I19" s="16"/>
      <c r="J19" s="16"/>
    </row>
    <row r="20" spans="1:10" x14ac:dyDescent="0.4">
      <c r="A20" s="4" t="s">
        <v>109</v>
      </c>
      <c r="D20" s="42"/>
      <c r="E20" s="42"/>
      <c r="F20" s="42"/>
      <c r="G20" s="42"/>
      <c r="H20" s="42"/>
      <c r="I20" s="16"/>
      <c r="J20" s="16"/>
    </row>
    <row r="21" spans="1:10" ht="16.3" x14ac:dyDescent="0.4">
      <c r="A21" s="35" t="s">
        <v>22</v>
      </c>
      <c r="B21" s="35"/>
      <c r="C21" s="35"/>
      <c r="D21" s="35"/>
      <c r="E21" s="35"/>
      <c r="F21" s="35"/>
      <c r="G21" s="35"/>
      <c r="H21" s="35"/>
    </row>
    <row r="22" spans="1:10" x14ac:dyDescent="0.4">
      <c r="A22" s="46" t="s">
        <v>23</v>
      </c>
      <c r="B22" s="46"/>
      <c r="C22" s="46"/>
      <c r="D22" s="46"/>
      <c r="E22" s="46"/>
      <c r="F22" s="46"/>
      <c r="G22" s="46"/>
      <c r="H22" s="46"/>
      <c r="I22" s="16"/>
      <c r="J22" s="16"/>
    </row>
    <row r="23" spans="1:10" x14ac:dyDescent="0.4">
      <c r="A23" s="46"/>
      <c r="B23" s="46"/>
      <c r="C23" s="46"/>
      <c r="D23" s="46"/>
      <c r="E23" s="46"/>
      <c r="F23" s="46"/>
      <c r="G23" s="46"/>
      <c r="H23" s="46"/>
      <c r="I23" s="16"/>
      <c r="J23" s="16"/>
    </row>
    <row r="24" spans="1:10" x14ac:dyDescent="0.4">
      <c r="A24" s="46" t="s">
        <v>24</v>
      </c>
      <c r="B24" s="46"/>
      <c r="C24" s="46"/>
      <c r="D24" s="46"/>
      <c r="E24" s="46"/>
      <c r="F24" s="46"/>
      <c r="G24" s="46"/>
      <c r="H24" s="46"/>
      <c r="I24" s="16"/>
      <c r="J24" s="16"/>
    </row>
    <row r="25" spans="1:10" x14ac:dyDescent="0.4">
      <c r="A25" s="46"/>
      <c r="B25" s="46"/>
      <c r="C25" s="46"/>
      <c r="D25" s="46"/>
      <c r="E25" s="46"/>
      <c r="F25" s="46"/>
      <c r="G25" s="46"/>
      <c r="H25" s="46"/>
      <c r="I25" s="16"/>
      <c r="J25" s="16"/>
    </row>
    <row r="26" spans="1:10" x14ac:dyDescent="0.4">
      <c r="A26" s="46" t="s">
        <v>25</v>
      </c>
      <c r="B26" s="46"/>
      <c r="C26" s="46"/>
      <c r="D26" s="46"/>
      <c r="E26" s="46"/>
      <c r="F26" s="46"/>
      <c r="G26" s="46"/>
      <c r="H26" s="46"/>
      <c r="I26" s="16"/>
      <c r="J26" s="16"/>
    </row>
    <row r="27" spans="1:10" x14ac:dyDescent="0.4">
      <c r="A27" s="46"/>
      <c r="B27" s="46"/>
      <c r="C27" s="46"/>
      <c r="D27" s="46"/>
      <c r="E27" s="46"/>
      <c r="F27" s="46"/>
      <c r="G27" s="46"/>
      <c r="H27" s="46"/>
      <c r="I27" s="16"/>
      <c r="J27" s="16"/>
    </row>
    <row r="28" spans="1:10" ht="16.3" x14ac:dyDescent="0.4">
      <c r="A28" s="35" t="s">
        <v>36</v>
      </c>
      <c r="B28" s="35"/>
      <c r="C28" s="35"/>
      <c r="D28" s="35"/>
      <c r="E28" s="35"/>
      <c r="F28" s="35"/>
      <c r="G28" s="35"/>
      <c r="H28" s="35"/>
    </row>
    <row r="29" spans="1:10" s="2" customFormat="1" ht="15" x14ac:dyDescent="0.35">
      <c r="A29" s="8" t="s">
        <v>13</v>
      </c>
      <c r="B29" s="1" t="str">
        <f>B10</f>
        <v>Trần Thị Phương</v>
      </c>
      <c r="C29" s="24"/>
      <c r="D29" s="9" t="s">
        <v>29</v>
      </c>
      <c r="E29" s="25">
        <f>H42</f>
        <v>0</v>
      </c>
      <c r="F29" s="9" t="s">
        <v>30</v>
      </c>
      <c r="G29" s="24" t="str">
        <f>CHOOSE(INT($E$29)+1,"Không","Một","Hai","Ba","Bốn","Năm","Sáu","Bảy","Tám","Chín")
&amp;" phẩy "&amp;
CHOOSE(RIGHT(TEXT($E$29,"0.0"),1)+1,"không","một","hai","ba","bốn","năm","sáu","bảy","tám","chín")</f>
        <v>Không phẩy không</v>
      </c>
    </row>
    <row r="30" spans="1:10" x14ac:dyDescent="0.4">
      <c r="A30" s="8"/>
      <c r="B30" s="1"/>
      <c r="C30" s="1"/>
      <c r="D30" s="1"/>
      <c r="E30" s="1"/>
      <c r="F30" s="1"/>
      <c r="G30" s="1"/>
      <c r="H30" s="1"/>
    </row>
    <row r="31" spans="1:10" ht="16.5" customHeight="1" x14ac:dyDescent="0.4">
      <c r="A31" s="43" t="s">
        <v>37</v>
      </c>
      <c r="B31" s="43" t="s">
        <v>32</v>
      </c>
      <c r="C31" s="44" t="s">
        <v>34</v>
      </c>
      <c r="D31" s="44"/>
      <c r="E31" s="44"/>
      <c r="F31" s="44"/>
      <c r="G31" s="44"/>
      <c r="H31" s="43" t="s">
        <v>10</v>
      </c>
    </row>
    <row r="32" spans="1:10" x14ac:dyDescent="0.4">
      <c r="A32" s="43"/>
      <c r="B32" s="43"/>
      <c r="C32" s="28" t="s">
        <v>0</v>
      </c>
      <c r="D32" s="28" t="s">
        <v>2</v>
      </c>
      <c r="E32" s="28" t="s">
        <v>4</v>
      </c>
      <c r="F32" s="28" t="s">
        <v>6</v>
      </c>
      <c r="G32" s="28" t="s">
        <v>8</v>
      </c>
      <c r="H32" s="43"/>
    </row>
    <row r="33" spans="1:10" x14ac:dyDescent="0.4">
      <c r="A33" s="43"/>
      <c r="B33" s="43"/>
      <c r="C33" s="29" t="s">
        <v>1</v>
      </c>
      <c r="D33" s="29" t="s">
        <v>3</v>
      </c>
      <c r="E33" s="29" t="s">
        <v>5</v>
      </c>
      <c r="F33" s="29" t="s">
        <v>7</v>
      </c>
      <c r="G33" s="29" t="s">
        <v>9</v>
      </c>
      <c r="H33" s="43"/>
    </row>
    <row r="34" spans="1:10" s="3" customFormat="1" ht="124.95" customHeight="1" x14ac:dyDescent="0.4">
      <c r="A34" s="17" t="s">
        <v>39</v>
      </c>
      <c r="B34" s="18" t="s">
        <v>40</v>
      </c>
      <c r="C34" s="19" t="s">
        <v>41</v>
      </c>
      <c r="D34" s="19" t="s">
        <v>42</v>
      </c>
      <c r="E34" s="19" t="s">
        <v>43</v>
      </c>
      <c r="F34" s="19" t="s">
        <v>44</v>
      </c>
      <c r="G34" s="19" t="s">
        <v>45</v>
      </c>
      <c r="H34" s="20"/>
      <c r="I34" s="21">
        <v>0.1</v>
      </c>
      <c r="J34" s="3">
        <f>I34*H34</f>
        <v>0</v>
      </c>
    </row>
    <row r="35" spans="1:10" s="3" customFormat="1" ht="93" customHeight="1" x14ac:dyDescent="0.4">
      <c r="A35" s="17" t="s">
        <v>46</v>
      </c>
      <c r="B35" s="18" t="s">
        <v>47</v>
      </c>
      <c r="C35" s="19" t="s">
        <v>48</v>
      </c>
      <c r="D35" s="19" t="s">
        <v>49</v>
      </c>
      <c r="E35" s="19" t="s">
        <v>50</v>
      </c>
      <c r="F35" s="19" t="s">
        <v>51</v>
      </c>
      <c r="G35" s="19" t="s">
        <v>52</v>
      </c>
      <c r="H35" s="20"/>
      <c r="I35" s="21">
        <v>0.1</v>
      </c>
      <c r="J35" s="3">
        <f t="shared" ref="J35:J41" si="0">I35*H35</f>
        <v>0</v>
      </c>
    </row>
    <row r="36" spans="1:10" s="3" customFormat="1" ht="108.65" customHeight="1" x14ac:dyDescent="0.4">
      <c r="A36" s="17" t="s">
        <v>53</v>
      </c>
      <c r="B36" s="18" t="s">
        <v>54</v>
      </c>
      <c r="C36" s="19" t="s">
        <v>55</v>
      </c>
      <c r="D36" s="19" t="s">
        <v>56</v>
      </c>
      <c r="E36" s="19" t="s">
        <v>57</v>
      </c>
      <c r="F36" s="19" t="s">
        <v>58</v>
      </c>
      <c r="G36" s="19" t="s">
        <v>59</v>
      </c>
      <c r="H36" s="20"/>
      <c r="I36" s="21">
        <v>0.1</v>
      </c>
      <c r="J36" s="3">
        <f t="shared" si="0"/>
        <v>0</v>
      </c>
    </row>
    <row r="37" spans="1:10" s="10" customFormat="1" ht="99" x14ac:dyDescent="0.4">
      <c r="A37" s="17" t="s">
        <v>60</v>
      </c>
      <c r="B37" s="18" t="s">
        <v>61</v>
      </c>
      <c r="C37" s="19" t="s">
        <v>62</v>
      </c>
      <c r="D37" s="19" t="s">
        <v>63</v>
      </c>
      <c r="E37" s="19" t="s">
        <v>64</v>
      </c>
      <c r="F37" s="19" t="s">
        <v>65</v>
      </c>
      <c r="G37" s="19" t="s">
        <v>66</v>
      </c>
      <c r="H37" s="20"/>
      <c r="I37" s="22">
        <v>0.1</v>
      </c>
      <c r="J37" s="3">
        <f t="shared" si="0"/>
        <v>0</v>
      </c>
    </row>
    <row r="38" spans="1:10" s="3" customFormat="1" ht="84" customHeight="1" x14ac:dyDescent="0.4">
      <c r="A38" s="17" t="s">
        <v>67</v>
      </c>
      <c r="B38" s="18" t="s">
        <v>68</v>
      </c>
      <c r="C38" s="19" t="s">
        <v>69</v>
      </c>
      <c r="D38" s="19" t="s">
        <v>70</v>
      </c>
      <c r="E38" s="19" t="s">
        <v>71</v>
      </c>
      <c r="F38" s="19" t="s">
        <v>72</v>
      </c>
      <c r="G38" s="19" t="s">
        <v>73</v>
      </c>
      <c r="H38" s="20"/>
      <c r="I38" s="21">
        <v>0.1</v>
      </c>
      <c r="J38" s="3">
        <f t="shared" si="0"/>
        <v>0</v>
      </c>
    </row>
    <row r="39" spans="1:10" s="3" customFormat="1" ht="90.65" customHeight="1" x14ac:dyDescent="0.4">
      <c r="A39" s="17" t="s">
        <v>46</v>
      </c>
      <c r="B39" s="18" t="s">
        <v>74</v>
      </c>
      <c r="C39" s="19" t="s">
        <v>75</v>
      </c>
      <c r="D39" s="19" t="s">
        <v>76</v>
      </c>
      <c r="E39" s="19" t="s">
        <v>77</v>
      </c>
      <c r="F39" s="19" t="s">
        <v>78</v>
      </c>
      <c r="G39" s="19" t="s">
        <v>79</v>
      </c>
      <c r="H39" s="20"/>
      <c r="I39" s="21">
        <v>0.1</v>
      </c>
      <c r="J39" s="3">
        <f t="shared" si="0"/>
        <v>0</v>
      </c>
    </row>
    <row r="40" spans="1:10" s="3" customFormat="1" ht="70.75" x14ac:dyDescent="0.4">
      <c r="A40" s="17" t="s">
        <v>80</v>
      </c>
      <c r="B40" s="18" t="s">
        <v>81</v>
      </c>
      <c r="C40" s="19" t="s">
        <v>82</v>
      </c>
      <c r="D40" s="19" t="s">
        <v>83</v>
      </c>
      <c r="E40" s="19" t="s">
        <v>84</v>
      </c>
      <c r="F40" s="19" t="s">
        <v>85</v>
      </c>
      <c r="G40" s="19" t="s">
        <v>86</v>
      </c>
      <c r="H40" s="20"/>
      <c r="I40" s="21">
        <v>0.25</v>
      </c>
      <c r="J40" s="3">
        <f t="shared" si="0"/>
        <v>0</v>
      </c>
    </row>
    <row r="41" spans="1:10" s="3" customFormat="1" ht="102.65" customHeight="1" x14ac:dyDescent="0.4">
      <c r="A41" s="17" t="s">
        <v>80</v>
      </c>
      <c r="B41" s="18" t="s">
        <v>87</v>
      </c>
      <c r="C41" s="19" t="s">
        <v>88</v>
      </c>
      <c r="D41" s="19" t="s">
        <v>89</v>
      </c>
      <c r="E41" s="19" t="s">
        <v>90</v>
      </c>
      <c r="F41" s="19" t="s">
        <v>91</v>
      </c>
      <c r="G41" s="19" t="s">
        <v>92</v>
      </c>
      <c r="H41" s="20"/>
      <c r="I41" s="21">
        <v>0.15</v>
      </c>
      <c r="J41" s="3">
        <f t="shared" si="0"/>
        <v>0</v>
      </c>
    </row>
    <row r="42" spans="1:10" ht="22.5" customHeight="1" x14ac:dyDescent="0.4">
      <c r="A42" s="32" t="s">
        <v>33</v>
      </c>
      <c r="B42" s="33"/>
      <c r="C42" s="33"/>
      <c r="D42" s="33"/>
      <c r="E42" s="33"/>
      <c r="F42" s="33"/>
      <c r="G42" s="34"/>
      <c r="H42" s="27">
        <f>MROUND(SUM($J$34:$J$41),0.5)</f>
        <v>0</v>
      </c>
      <c r="I42" s="23">
        <f>SUM(I34:I41)</f>
        <v>1</v>
      </c>
      <c r="J42" s="14">
        <f>SUM(J34:J41)</f>
        <v>0</v>
      </c>
    </row>
    <row r="43" spans="1:10" ht="22.5" customHeight="1" x14ac:dyDescent="0.4">
      <c r="A43" s="11"/>
      <c r="B43" s="11"/>
      <c r="C43" s="11"/>
      <c r="D43" s="11"/>
      <c r="E43" s="11"/>
      <c r="F43" s="11"/>
      <c r="G43" s="11"/>
    </row>
    <row r="44" spans="1:10" s="2" customFormat="1" ht="15" x14ac:dyDescent="0.35">
      <c r="A44" s="8" t="s">
        <v>16</v>
      </c>
      <c r="B44" s="1" t="str">
        <f>B11</f>
        <v>Trần Thị Kim Thi</v>
      </c>
      <c r="C44" s="24"/>
      <c r="D44" s="9" t="s">
        <v>29</v>
      </c>
      <c r="E44" s="25">
        <f>H57</f>
        <v>0</v>
      </c>
      <c r="F44" s="9" t="s">
        <v>30</v>
      </c>
      <c r="G44" s="24" t="str">
        <f>CHOOSE(INT(E44)+1,"Không","Một","Hai","Ba","Bốn","Năm","Sáu","Bảy","Tám","Chín")
&amp;" phẩy "&amp;
CHOOSE(RIGHT(TEXT($E$44,"0.0"),1)+1,"không","một","hai","ba","bốn","năm","sáu","bảy","tám","chín")</f>
        <v>Không phẩy không</v>
      </c>
    </row>
    <row r="45" spans="1:10" x14ac:dyDescent="0.4">
      <c r="A45" s="8"/>
      <c r="B45" s="1"/>
      <c r="C45" s="1"/>
      <c r="D45" s="1"/>
      <c r="E45" s="1"/>
      <c r="F45" s="1"/>
      <c r="G45" s="1"/>
      <c r="H45" s="1"/>
    </row>
    <row r="46" spans="1:10" ht="16.5" customHeight="1" x14ac:dyDescent="0.4">
      <c r="A46" s="43" t="s">
        <v>37</v>
      </c>
      <c r="B46" s="43" t="s">
        <v>32</v>
      </c>
      <c r="C46" s="44" t="s">
        <v>34</v>
      </c>
      <c r="D46" s="44"/>
      <c r="E46" s="44"/>
      <c r="F46" s="44"/>
      <c r="G46" s="44"/>
      <c r="H46" s="43" t="s">
        <v>10</v>
      </c>
    </row>
    <row r="47" spans="1:10" x14ac:dyDescent="0.4">
      <c r="A47" s="43"/>
      <c r="B47" s="43"/>
      <c r="C47" s="28" t="s">
        <v>0</v>
      </c>
      <c r="D47" s="28" t="s">
        <v>2</v>
      </c>
      <c r="E47" s="28" t="s">
        <v>4</v>
      </c>
      <c r="F47" s="28" t="s">
        <v>6</v>
      </c>
      <c r="G47" s="28" t="s">
        <v>8</v>
      </c>
      <c r="H47" s="43"/>
    </row>
    <row r="48" spans="1:10" x14ac:dyDescent="0.4">
      <c r="A48" s="43"/>
      <c r="B48" s="43"/>
      <c r="C48" s="29" t="s">
        <v>1</v>
      </c>
      <c r="D48" s="29" t="s">
        <v>3</v>
      </c>
      <c r="E48" s="29" t="s">
        <v>5</v>
      </c>
      <c r="F48" s="29" t="s">
        <v>7</v>
      </c>
      <c r="G48" s="29" t="s">
        <v>9</v>
      </c>
      <c r="H48" s="43"/>
    </row>
    <row r="49" spans="1:10" s="3" customFormat="1" ht="124.95" customHeight="1" x14ac:dyDescent="0.4">
      <c r="A49" s="17" t="s">
        <v>39</v>
      </c>
      <c r="B49" s="18" t="s">
        <v>40</v>
      </c>
      <c r="C49" s="19" t="s">
        <v>41</v>
      </c>
      <c r="D49" s="19" t="s">
        <v>42</v>
      </c>
      <c r="E49" s="19" t="s">
        <v>43</v>
      </c>
      <c r="F49" s="19" t="s">
        <v>44</v>
      </c>
      <c r="G49" s="19" t="s">
        <v>45</v>
      </c>
      <c r="H49" s="20"/>
      <c r="I49" s="21">
        <v>0.1</v>
      </c>
      <c r="J49" s="3">
        <f>I49*H49</f>
        <v>0</v>
      </c>
    </row>
    <row r="50" spans="1:10" s="3" customFormat="1" ht="93" customHeight="1" x14ac:dyDescent="0.4">
      <c r="A50" s="17" t="s">
        <v>46</v>
      </c>
      <c r="B50" s="18" t="s">
        <v>47</v>
      </c>
      <c r="C50" s="19" t="s">
        <v>48</v>
      </c>
      <c r="D50" s="19" t="s">
        <v>49</v>
      </c>
      <c r="E50" s="19" t="s">
        <v>50</v>
      </c>
      <c r="F50" s="19" t="s">
        <v>51</v>
      </c>
      <c r="G50" s="19" t="s">
        <v>52</v>
      </c>
      <c r="H50" s="20"/>
      <c r="I50" s="21">
        <v>0.1</v>
      </c>
      <c r="J50" s="3">
        <f t="shared" ref="J50:J56" si="1">I50*H50</f>
        <v>0</v>
      </c>
    </row>
    <row r="51" spans="1:10" s="3" customFormat="1" ht="108.65" customHeight="1" x14ac:dyDescent="0.4">
      <c r="A51" s="17" t="s">
        <v>53</v>
      </c>
      <c r="B51" s="18" t="s">
        <v>54</v>
      </c>
      <c r="C51" s="19" t="s">
        <v>55</v>
      </c>
      <c r="D51" s="19" t="s">
        <v>56</v>
      </c>
      <c r="E51" s="19" t="s">
        <v>57</v>
      </c>
      <c r="F51" s="19" t="s">
        <v>58</v>
      </c>
      <c r="G51" s="19" t="s">
        <v>59</v>
      </c>
      <c r="H51" s="20"/>
      <c r="I51" s="21">
        <v>0.1</v>
      </c>
      <c r="J51" s="3">
        <f t="shared" si="1"/>
        <v>0</v>
      </c>
    </row>
    <row r="52" spans="1:10" s="10" customFormat="1" ht="99" x14ac:dyDescent="0.4">
      <c r="A52" s="17" t="s">
        <v>60</v>
      </c>
      <c r="B52" s="18" t="s">
        <v>61</v>
      </c>
      <c r="C52" s="19" t="s">
        <v>62</v>
      </c>
      <c r="D52" s="19" t="s">
        <v>63</v>
      </c>
      <c r="E52" s="19" t="s">
        <v>64</v>
      </c>
      <c r="F52" s="19" t="s">
        <v>65</v>
      </c>
      <c r="G52" s="19" t="s">
        <v>66</v>
      </c>
      <c r="H52" s="20"/>
      <c r="I52" s="22">
        <v>0.1</v>
      </c>
      <c r="J52" s="3">
        <f t="shared" si="1"/>
        <v>0</v>
      </c>
    </row>
    <row r="53" spans="1:10" s="3" customFormat="1" ht="84" customHeight="1" x14ac:dyDescent="0.4">
      <c r="A53" s="17" t="s">
        <v>67</v>
      </c>
      <c r="B53" s="18" t="s">
        <v>68</v>
      </c>
      <c r="C53" s="19" t="s">
        <v>69</v>
      </c>
      <c r="D53" s="19" t="s">
        <v>70</v>
      </c>
      <c r="E53" s="19" t="s">
        <v>71</v>
      </c>
      <c r="F53" s="19" t="s">
        <v>72</v>
      </c>
      <c r="G53" s="19" t="s">
        <v>73</v>
      </c>
      <c r="H53" s="20"/>
      <c r="I53" s="21">
        <v>0.1</v>
      </c>
      <c r="J53" s="3">
        <f t="shared" si="1"/>
        <v>0</v>
      </c>
    </row>
    <row r="54" spans="1:10" s="3" customFormat="1" ht="90.65" customHeight="1" x14ac:dyDescent="0.4">
      <c r="A54" s="17" t="s">
        <v>46</v>
      </c>
      <c r="B54" s="18" t="s">
        <v>74</v>
      </c>
      <c r="C54" s="19" t="s">
        <v>75</v>
      </c>
      <c r="D54" s="19" t="s">
        <v>76</v>
      </c>
      <c r="E54" s="19" t="s">
        <v>77</v>
      </c>
      <c r="F54" s="19" t="s">
        <v>78</v>
      </c>
      <c r="G54" s="19" t="s">
        <v>79</v>
      </c>
      <c r="H54" s="20"/>
      <c r="I54" s="21">
        <v>0.1</v>
      </c>
      <c r="J54" s="3">
        <f t="shared" si="1"/>
        <v>0</v>
      </c>
    </row>
    <row r="55" spans="1:10" s="3" customFormat="1" ht="70.75" x14ac:dyDescent="0.4">
      <c r="A55" s="17" t="s">
        <v>80</v>
      </c>
      <c r="B55" s="18" t="s">
        <v>81</v>
      </c>
      <c r="C55" s="19" t="s">
        <v>82</v>
      </c>
      <c r="D55" s="19" t="s">
        <v>83</v>
      </c>
      <c r="E55" s="19" t="s">
        <v>84</v>
      </c>
      <c r="F55" s="19" t="s">
        <v>85</v>
      </c>
      <c r="G55" s="19" t="s">
        <v>86</v>
      </c>
      <c r="H55" s="20"/>
      <c r="I55" s="21">
        <v>0.25</v>
      </c>
      <c r="J55" s="3">
        <f t="shared" si="1"/>
        <v>0</v>
      </c>
    </row>
    <row r="56" spans="1:10" s="3" customFormat="1" ht="102.65" customHeight="1" x14ac:dyDescent="0.4">
      <c r="A56" s="17" t="s">
        <v>80</v>
      </c>
      <c r="B56" s="18" t="s">
        <v>87</v>
      </c>
      <c r="C56" s="19" t="s">
        <v>88</v>
      </c>
      <c r="D56" s="19" t="s">
        <v>89</v>
      </c>
      <c r="E56" s="19" t="s">
        <v>90</v>
      </c>
      <c r="F56" s="19" t="s">
        <v>91</v>
      </c>
      <c r="G56" s="19" t="s">
        <v>92</v>
      </c>
      <c r="H56" s="20"/>
      <c r="I56" s="21">
        <v>0.15</v>
      </c>
      <c r="J56" s="3">
        <f t="shared" si="1"/>
        <v>0</v>
      </c>
    </row>
    <row r="57" spans="1:10" ht="22.5" customHeight="1" x14ac:dyDescent="0.4">
      <c r="A57" s="32" t="s">
        <v>33</v>
      </c>
      <c r="B57" s="33"/>
      <c r="C57" s="33"/>
      <c r="D57" s="33"/>
      <c r="E57" s="33"/>
      <c r="F57" s="33"/>
      <c r="G57" s="34"/>
      <c r="H57" s="27">
        <f>MROUND(SUM($J$49:$J$56),0.5)</f>
        <v>0</v>
      </c>
      <c r="I57" s="23">
        <f>SUM(I49:I56)</f>
        <v>1</v>
      </c>
      <c r="J57" s="14">
        <f>SUM(J49:J56)</f>
        <v>0</v>
      </c>
    </row>
    <row r="58" spans="1:10" ht="22.5" customHeight="1" x14ac:dyDescent="0.4">
      <c r="A58" s="11"/>
      <c r="B58" s="11"/>
      <c r="C58" s="11"/>
      <c r="D58" s="11"/>
      <c r="E58" s="11"/>
      <c r="F58" s="11"/>
      <c r="G58" s="11"/>
    </row>
    <row r="59" spans="1:10" s="2" customFormat="1" ht="15" x14ac:dyDescent="0.35">
      <c r="A59" s="8" t="s">
        <v>17</v>
      </c>
      <c r="B59" s="24">
        <f>B12</f>
        <v>0</v>
      </c>
      <c r="C59" s="24"/>
      <c r="D59" s="9" t="s">
        <v>29</v>
      </c>
      <c r="E59" s="26">
        <f>H72</f>
        <v>0</v>
      </c>
      <c r="F59" s="9" t="s">
        <v>30</v>
      </c>
      <c r="G59" s="24" t="str">
        <f>CHOOSE(INT($E$59)+1,"Không","Một","Hai","Ba","Bốn","Năm","Sáu","Bảy","Tám","Chín")
&amp;" phẩy "&amp;
CHOOSE(RIGHT(TEXT($E$59,"0.0"),1)+1,"không","một","hai","ba","bốn","năm","sáu","bảy","tám","chín")</f>
        <v>Không phẩy không</v>
      </c>
    </row>
    <row r="60" spans="1:10" x14ac:dyDescent="0.4">
      <c r="A60" s="8"/>
      <c r="B60" s="1"/>
      <c r="C60" s="1"/>
      <c r="D60" s="1"/>
      <c r="E60" s="1"/>
      <c r="F60" s="1"/>
      <c r="G60" s="1"/>
      <c r="H60" s="1"/>
    </row>
    <row r="61" spans="1:10" ht="16.5" customHeight="1" x14ac:dyDescent="0.4">
      <c r="A61" s="43" t="s">
        <v>37</v>
      </c>
      <c r="B61" s="43" t="s">
        <v>32</v>
      </c>
      <c r="C61" s="44" t="s">
        <v>34</v>
      </c>
      <c r="D61" s="44"/>
      <c r="E61" s="44"/>
      <c r="F61" s="44"/>
      <c r="G61" s="44"/>
      <c r="H61" s="43" t="s">
        <v>10</v>
      </c>
    </row>
    <row r="62" spans="1:10" x14ac:dyDescent="0.4">
      <c r="A62" s="43"/>
      <c r="B62" s="43"/>
      <c r="C62" s="28" t="s">
        <v>0</v>
      </c>
      <c r="D62" s="28" t="s">
        <v>2</v>
      </c>
      <c r="E62" s="28" t="s">
        <v>4</v>
      </c>
      <c r="F62" s="28" t="s">
        <v>6</v>
      </c>
      <c r="G62" s="28" t="s">
        <v>8</v>
      </c>
      <c r="H62" s="43"/>
    </row>
    <row r="63" spans="1:10" x14ac:dyDescent="0.4">
      <c r="A63" s="43"/>
      <c r="B63" s="43"/>
      <c r="C63" s="29" t="s">
        <v>1</v>
      </c>
      <c r="D63" s="29" t="s">
        <v>3</v>
      </c>
      <c r="E63" s="29" t="s">
        <v>5</v>
      </c>
      <c r="F63" s="29" t="s">
        <v>7</v>
      </c>
      <c r="G63" s="29" t="s">
        <v>9</v>
      </c>
      <c r="H63" s="43"/>
    </row>
    <row r="64" spans="1:10" s="3" customFormat="1" ht="124.95" customHeight="1" x14ac:dyDescent="0.4">
      <c r="A64" s="17" t="s">
        <v>39</v>
      </c>
      <c r="B64" s="31" t="s">
        <v>40</v>
      </c>
      <c r="C64" s="17" t="s">
        <v>41</v>
      </c>
      <c r="D64" s="17" t="s">
        <v>42</v>
      </c>
      <c r="E64" s="17" t="s">
        <v>43</v>
      </c>
      <c r="F64" s="17" t="s">
        <v>44</v>
      </c>
      <c r="G64" s="17" t="s">
        <v>45</v>
      </c>
      <c r="H64" s="20"/>
      <c r="I64" s="21">
        <v>0.1</v>
      </c>
      <c r="J64" s="3">
        <f>I64*H64</f>
        <v>0</v>
      </c>
    </row>
    <row r="65" spans="1:10" s="3" customFormat="1" ht="93" customHeight="1" x14ac:dyDescent="0.4">
      <c r="A65" s="17" t="s">
        <v>46</v>
      </c>
      <c r="B65" s="31" t="s">
        <v>47</v>
      </c>
      <c r="C65" s="17" t="s">
        <v>48</v>
      </c>
      <c r="D65" s="17" t="s">
        <v>49</v>
      </c>
      <c r="E65" s="17" t="s">
        <v>50</v>
      </c>
      <c r="F65" s="17" t="s">
        <v>51</v>
      </c>
      <c r="G65" s="17" t="s">
        <v>52</v>
      </c>
      <c r="H65" s="20"/>
      <c r="I65" s="21">
        <v>0.1</v>
      </c>
      <c r="J65" s="3">
        <f t="shared" ref="J65:J71" si="2">I65*H65</f>
        <v>0</v>
      </c>
    </row>
    <row r="66" spans="1:10" s="3" customFormat="1" ht="108.65" customHeight="1" x14ac:dyDescent="0.4">
      <c r="A66" s="17" t="s">
        <v>53</v>
      </c>
      <c r="B66" s="31" t="s">
        <v>54</v>
      </c>
      <c r="C66" s="17" t="s">
        <v>55</v>
      </c>
      <c r="D66" s="17" t="s">
        <v>56</v>
      </c>
      <c r="E66" s="17" t="s">
        <v>57</v>
      </c>
      <c r="F66" s="17" t="s">
        <v>58</v>
      </c>
      <c r="G66" s="17" t="s">
        <v>59</v>
      </c>
      <c r="H66" s="20"/>
      <c r="I66" s="21">
        <v>0.1</v>
      </c>
      <c r="J66" s="3">
        <f t="shared" si="2"/>
        <v>0</v>
      </c>
    </row>
    <row r="67" spans="1:10" s="10" customFormat="1" ht="99" x14ac:dyDescent="0.4">
      <c r="A67" s="17" t="s">
        <v>60</v>
      </c>
      <c r="B67" s="31" t="s">
        <v>61</v>
      </c>
      <c r="C67" s="17" t="s">
        <v>62</v>
      </c>
      <c r="D67" s="17" t="s">
        <v>63</v>
      </c>
      <c r="E67" s="17" t="s">
        <v>64</v>
      </c>
      <c r="F67" s="17" t="s">
        <v>65</v>
      </c>
      <c r="G67" s="17" t="s">
        <v>66</v>
      </c>
      <c r="H67" s="20"/>
      <c r="I67" s="22">
        <v>0.1</v>
      </c>
      <c r="J67" s="3">
        <f t="shared" si="2"/>
        <v>0</v>
      </c>
    </row>
    <row r="68" spans="1:10" s="3" customFormat="1" ht="84" customHeight="1" x14ac:dyDescent="0.4">
      <c r="A68" s="17" t="s">
        <v>67</v>
      </c>
      <c r="B68" s="31" t="s">
        <v>68</v>
      </c>
      <c r="C68" s="17" t="s">
        <v>69</v>
      </c>
      <c r="D68" s="17" t="s">
        <v>70</v>
      </c>
      <c r="E68" s="17" t="s">
        <v>71</v>
      </c>
      <c r="F68" s="17" t="s">
        <v>72</v>
      </c>
      <c r="G68" s="17" t="s">
        <v>73</v>
      </c>
      <c r="H68" s="20"/>
      <c r="I68" s="21">
        <v>0.1</v>
      </c>
      <c r="J68" s="3">
        <f t="shared" si="2"/>
        <v>0</v>
      </c>
    </row>
    <row r="69" spans="1:10" s="3" customFormat="1" ht="90.65" customHeight="1" x14ac:dyDescent="0.4">
      <c r="A69" s="17" t="s">
        <v>46</v>
      </c>
      <c r="B69" s="31" t="s">
        <v>74</v>
      </c>
      <c r="C69" s="17" t="s">
        <v>75</v>
      </c>
      <c r="D69" s="17" t="s">
        <v>76</v>
      </c>
      <c r="E69" s="17" t="s">
        <v>77</v>
      </c>
      <c r="F69" s="17" t="s">
        <v>78</v>
      </c>
      <c r="G69" s="17" t="s">
        <v>79</v>
      </c>
      <c r="H69" s="20"/>
      <c r="I69" s="21">
        <v>0.1</v>
      </c>
      <c r="J69" s="3">
        <f t="shared" si="2"/>
        <v>0</v>
      </c>
    </row>
    <row r="70" spans="1:10" s="3" customFormat="1" ht="70.75" x14ac:dyDescent="0.4">
      <c r="A70" s="17" t="s">
        <v>80</v>
      </c>
      <c r="B70" s="31" t="s">
        <v>81</v>
      </c>
      <c r="C70" s="17" t="s">
        <v>82</v>
      </c>
      <c r="D70" s="17" t="s">
        <v>83</v>
      </c>
      <c r="E70" s="17" t="s">
        <v>84</v>
      </c>
      <c r="F70" s="17" t="s">
        <v>85</v>
      </c>
      <c r="G70" s="17" t="s">
        <v>86</v>
      </c>
      <c r="H70" s="20"/>
      <c r="I70" s="21">
        <v>0.25</v>
      </c>
      <c r="J70" s="3">
        <f t="shared" si="2"/>
        <v>0</v>
      </c>
    </row>
    <row r="71" spans="1:10" s="3" customFormat="1" ht="102.65" customHeight="1" x14ac:dyDescent="0.4">
      <c r="A71" s="17" t="s">
        <v>80</v>
      </c>
      <c r="B71" s="31" t="s">
        <v>87</v>
      </c>
      <c r="C71" s="17" t="s">
        <v>88</v>
      </c>
      <c r="D71" s="17" t="s">
        <v>89</v>
      </c>
      <c r="E71" s="17" t="s">
        <v>90</v>
      </c>
      <c r="F71" s="17" t="s">
        <v>91</v>
      </c>
      <c r="G71" s="17" t="s">
        <v>92</v>
      </c>
      <c r="H71" s="20"/>
      <c r="I71" s="21">
        <v>0.15</v>
      </c>
      <c r="J71" s="3">
        <f t="shared" si="2"/>
        <v>0</v>
      </c>
    </row>
    <row r="72" spans="1:10" ht="22.5" customHeight="1" x14ac:dyDescent="0.4">
      <c r="A72" s="32" t="s">
        <v>33</v>
      </c>
      <c r="B72" s="33"/>
      <c r="C72" s="33"/>
      <c r="D72" s="33"/>
      <c r="E72" s="33"/>
      <c r="F72" s="33"/>
      <c r="G72" s="34"/>
      <c r="H72" s="27">
        <f>MROUND(SUM($J$64:$J$71),0.5)</f>
        <v>0</v>
      </c>
      <c r="I72" s="23">
        <f>SUM(I64:I71)</f>
        <v>1</v>
      </c>
      <c r="J72" s="14">
        <f>SUM(J64:J71)</f>
        <v>0</v>
      </c>
    </row>
    <row r="74" spans="1:10" ht="16.3" x14ac:dyDescent="0.4">
      <c r="A74" s="35" t="s">
        <v>26</v>
      </c>
      <c r="B74" s="35"/>
      <c r="C74" s="35"/>
      <c r="D74" s="35"/>
      <c r="E74" s="35"/>
      <c r="F74" s="35"/>
      <c r="G74" s="35"/>
      <c r="H74" s="35"/>
      <c r="I74" s="16"/>
      <c r="J74" s="16"/>
    </row>
    <row r="75" spans="1:10" x14ac:dyDescent="0.4">
      <c r="A75" s="6"/>
      <c r="D75" s="1" t="s">
        <v>94</v>
      </c>
      <c r="E75" s="2" t="s">
        <v>95</v>
      </c>
      <c r="F75" s="2"/>
      <c r="G75" s="2"/>
      <c r="I75" s="16"/>
      <c r="J75" s="16"/>
    </row>
    <row r="76" spans="1:10" x14ac:dyDescent="0.4">
      <c r="B76" s="7" t="str">
        <f>$B$10</f>
        <v>Trần Thị Phương</v>
      </c>
      <c r="D76" s="30" t="s">
        <v>96</v>
      </c>
      <c r="E76" s="30" t="s">
        <v>96</v>
      </c>
      <c r="I76" s="16"/>
      <c r="J76" s="16"/>
    </row>
    <row r="77" spans="1:10" x14ac:dyDescent="0.4">
      <c r="B77" s="7" t="str">
        <f>$B$11</f>
        <v>Trần Thị Kim Thi</v>
      </c>
      <c r="D77" s="30" t="s">
        <v>96</v>
      </c>
      <c r="E77" s="30" t="s">
        <v>96</v>
      </c>
      <c r="I77" s="16"/>
      <c r="J77" s="16"/>
    </row>
    <row r="78" spans="1:10" x14ac:dyDescent="0.4">
      <c r="B78" s="7">
        <f>$B$12</f>
        <v>0</v>
      </c>
      <c r="D78" s="30" t="s">
        <v>96</v>
      </c>
      <c r="E78" s="30" t="s">
        <v>96</v>
      </c>
      <c r="I78" s="16"/>
      <c r="J78" s="16"/>
    </row>
    <row r="79" spans="1:10" x14ac:dyDescent="0.4">
      <c r="E79" s="42" t="s">
        <v>97</v>
      </c>
      <c r="F79" s="42"/>
      <c r="G79" s="42"/>
      <c r="H79" s="42"/>
    </row>
    <row r="80" spans="1:10" ht="15.65" customHeight="1" x14ac:dyDescent="0.4">
      <c r="E80" s="45" t="s">
        <v>27</v>
      </c>
      <c r="F80" s="45"/>
      <c r="G80" s="45"/>
      <c r="H80" s="45"/>
    </row>
    <row r="81" spans="5:8" x14ac:dyDescent="0.4">
      <c r="E81" s="42" t="s">
        <v>28</v>
      </c>
      <c r="F81" s="42"/>
      <c r="G81" s="42"/>
      <c r="H81" s="42"/>
    </row>
  </sheetData>
  <mergeCells count="44">
    <mergeCell ref="E19:F19"/>
    <mergeCell ref="G19:H19"/>
    <mergeCell ref="A26:H27"/>
    <mergeCell ref="D20:H20"/>
    <mergeCell ref="A21:H21"/>
    <mergeCell ref="A22:H23"/>
    <mergeCell ref="A24:H25"/>
    <mergeCell ref="E81:H81"/>
    <mergeCell ref="A61:A63"/>
    <mergeCell ref="B61:B63"/>
    <mergeCell ref="C61:G61"/>
    <mergeCell ref="H61:H63"/>
    <mergeCell ref="E79:H79"/>
    <mergeCell ref="E80:H80"/>
    <mergeCell ref="A9:H9"/>
    <mergeCell ref="G1:H1"/>
    <mergeCell ref="A3:C3"/>
    <mergeCell ref="A5:H5"/>
    <mergeCell ref="A6:H6"/>
    <mergeCell ref="A7:H7"/>
    <mergeCell ref="E10:F10"/>
    <mergeCell ref="E11:F11"/>
    <mergeCell ref="E12:F12"/>
    <mergeCell ref="A16:H16"/>
    <mergeCell ref="C17:D17"/>
    <mergeCell ref="E17:F17"/>
    <mergeCell ref="G17:H17"/>
    <mergeCell ref="A14:H15"/>
    <mergeCell ref="A72:G72"/>
    <mergeCell ref="A74:H74"/>
    <mergeCell ref="C18:D18"/>
    <mergeCell ref="E18:F18"/>
    <mergeCell ref="G18:H18"/>
    <mergeCell ref="A57:G57"/>
    <mergeCell ref="H31:H33"/>
    <mergeCell ref="B31:B33"/>
    <mergeCell ref="A31:A33"/>
    <mergeCell ref="C31:G31"/>
    <mergeCell ref="A42:G42"/>
    <mergeCell ref="A28:H28"/>
    <mergeCell ref="H46:H48"/>
    <mergeCell ref="C46:G46"/>
    <mergeCell ref="B46:B48"/>
    <mergeCell ref="A46:A48"/>
  </mergeCells>
  <pageMargins left="0.37812499999999999" right="0.25437500000000002" top="0.52937500000000004" bottom="0.75" header="0.3" footer="0.3"/>
  <pageSetup paperSize="9" scale="67" fitToHeight="0" orientation="portrait" r:id="rId1"/>
  <headerFooter>
    <oddHeader>&amp;RBM04b/QT04/ĐT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 nhat 22-23</vt:lpstr>
      <vt:lpstr>'cap nhat 22-23'!Print_Area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Phuong</cp:lastModifiedBy>
  <cp:lastPrinted>2024-12-17T08:40:52Z</cp:lastPrinted>
  <dcterms:created xsi:type="dcterms:W3CDTF">2023-06-09T03:53:56Z</dcterms:created>
  <dcterms:modified xsi:type="dcterms:W3CDTF">2026-07-07T04:24:44Z</dcterms:modified>
</cp:coreProperties>
</file>